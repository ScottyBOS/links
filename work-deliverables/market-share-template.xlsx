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+MC Currency" sheetId="1" state="visible" r:id="rId1"/>
    <sheet name="Currency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8"/>
    </font>
  </fonts>
  <fills count="5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Online Share</a:t>
            </a:r>
          </a:p>
        </rich>
      </tx>
    </title>
    <plotArea>
      <pieChart>
        <varyColors val="1"/>
        <ser>
          <idx val="0"/>
          <order val="0"/>
          <tx>
            <strRef>
              <f>'Currency Dashboard'!B4</f>
            </strRef>
          </tx>
          <spPr>
            <a:ln>
              <a:prstDash val="solid"/>
            </a:ln>
          </spPr>
          <cat>
            <numRef>
              <f>'Currency Dashboard'!$A$5:$A$17</f>
            </numRef>
          </cat>
          <val>
            <numRef>
              <f>'Currency Dashboard'!$B$5:$B$17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POS Share</a:t>
            </a:r>
          </a:p>
        </rich>
      </tx>
    </title>
    <plotArea>
      <pieChart>
        <varyColors val="1"/>
        <ser>
          <idx val="0"/>
          <order val="0"/>
          <tx>
            <strRef>
              <f>'Currency Dashboard'!F4</f>
            </strRef>
          </tx>
          <spPr>
            <a:ln>
              <a:prstDash val="solid"/>
            </a:ln>
          </spPr>
          <cat>
            <numRef>
              <f>'Currency Dashboard'!$E$5:$E$17</f>
            </numRef>
          </cat>
          <val>
            <numRef>
              <f>'Currency Dashboard'!$F$5:$F$17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21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30" customWidth="1" min="9" max="9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</cols>
  <sheetData>
    <row r="1">
      <c r="A1" s="1" t="inlineStr">
        <is>
          <t>Block</t>
        </is>
      </c>
      <c r="B1" s="1" t="inlineStr">
        <is>
          <t>Currency</t>
        </is>
      </c>
      <c r="C1" s="1" t="inlineStr">
        <is>
          <t>Label C</t>
        </is>
      </c>
      <c r="D1" s="1" t="inlineStr">
        <is>
          <t>Label D</t>
        </is>
      </c>
      <c r="E1" s="1" t="inlineStr">
        <is>
          <t>Label E</t>
        </is>
      </c>
      <c r="F1" s="1" t="inlineStr">
        <is>
          <t>Label F</t>
        </is>
      </c>
      <c r="G1" s="1" t="inlineStr">
        <is>
          <t>Label G</t>
        </is>
      </c>
      <c r="H1" s="1" t="inlineStr">
        <is>
          <t>Label H</t>
        </is>
      </c>
      <c r="I1" s="1" t="inlineStr">
        <is>
          <t>VLOOKUP</t>
        </is>
      </c>
      <c r="N1" s="1" t="inlineStr">
        <is>
          <t>Jan24</t>
        </is>
      </c>
      <c r="O1" s="1" t="inlineStr">
        <is>
          <t>Feb24</t>
        </is>
      </c>
      <c r="P1" s="1" t="inlineStr">
        <is>
          <t>Mar24</t>
        </is>
      </c>
      <c r="Q1" s="1" t="inlineStr">
        <is>
          <t>Apr24</t>
        </is>
      </c>
      <c r="R1" s="1" t="inlineStr">
        <is>
          <t>May24</t>
        </is>
      </c>
      <c r="S1" s="1" t="inlineStr">
        <is>
          <t>Jun24</t>
        </is>
      </c>
      <c r="T1" s="1" t="inlineStr">
        <is>
          <t>Jul24</t>
        </is>
      </c>
      <c r="U1" s="1" t="inlineStr">
        <is>
          <t>Aug24</t>
        </is>
      </c>
      <c r="V1" s="1" t="inlineStr">
        <is>
          <t>Sep24</t>
        </is>
      </c>
      <c r="W1" s="1" t="inlineStr">
        <is>
          <t>Oct24</t>
        </is>
      </c>
      <c r="X1" s="1" t="inlineStr">
        <is>
          <t>Nov24</t>
        </is>
      </c>
      <c r="Y1" s="1" t="inlineStr">
        <is>
          <t>Dec24</t>
        </is>
      </c>
      <c r="Z1" s="1" t="inlineStr">
        <is>
          <t>Jan25</t>
        </is>
      </c>
      <c r="AA1" s="1" t="inlineStr">
        <is>
          <t>Feb25</t>
        </is>
      </c>
      <c r="AB1" s="1" t="inlineStr">
        <is>
          <t>Mar25</t>
        </is>
      </c>
      <c r="AC1" s="1" t="inlineStr">
        <is>
          <t>Apr25</t>
        </is>
      </c>
      <c r="AD1" s="1" t="inlineStr">
        <is>
          <t>May25</t>
        </is>
      </c>
      <c r="AE1" s="1" t="inlineStr">
        <is>
          <t>Jun25</t>
        </is>
      </c>
      <c r="AF1" s="1" t="inlineStr">
        <is>
          <t>Jul25</t>
        </is>
      </c>
      <c r="AG1" s="1" t="inlineStr">
        <is>
          <t>Aug25</t>
        </is>
      </c>
      <c r="AH1" s="1" t="inlineStr">
        <is>
          <t>Sep25</t>
        </is>
      </c>
      <c r="AJ1" s="1" t="inlineStr">
        <is>
          <t>Q1 2024</t>
        </is>
      </c>
      <c r="AK1" s="1" t="inlineStr">
        <is>
          <t>Q2 2024</t>
        </is>
      </c>
      <c r="AL1" s="1" t="inlineStr">
        <is>
          <t>Q3 2024</t>
        </is>
      </c>
      <c r="AM1" s="1" t="inlineStr">
        <is>
          <t>Q4 2024</t>
        </is>
      </c>
      <c r="AN1" s="1" t="inlineStr">
        <is>
          <t>Q1 2025</t>
        </is>
      </c>
      <c r="AO1" s="1" t="inlineStr">
        <is>
          <t>Q2 2025</t>
        </is>
      </c>
      <c r="AP1" s="1" t="inlineStr">
        <is>
          <t>Q3 2025</t>
        </is>
      </c>
      <c r="AQ1" s="1" t="inlineStr">
        <is>
          <t>Q4 2025</t>
        </is>
      </c>
      <c r="AR1" s="1" t="inlineStr">
        <is>
          <t>Q1 2026</t>
        </is>
      </c>
    </row>
    <row r="47">
      <c r="A47" s="2" t="inlineStr">
        <is>
          <t>MC Credit Cards</t>
        </is>
      </c>
      <c r="B47" s="2" t="inlineStr">
        <is>
          <t>HKD</t>
        </is>
      </c>
      <c r="C47" t="inlineStr">
        <is>
          <t>HKD_C</t>
        </is>
      </c>
      <c r="D47" t="inlineStr">
        <is>
          <t>HKD_D</t>
        </is>
      </c>
      <c r="E47" t="inlineStr">
        <is>
          <t>HKD_E</t>
        </is>
      </c>
      <c r="F47" t="inlineStr">
        <is>
          <t>HKD_F</t>
        </is>
      </c>
      <c r="G47" t="inlineStr">
        <is>
          <t>HKD_G</t>
        </is>
      </c>
      <c r="H47" t="inlineStr">
        <is>
          <t>HKD_H</t>
        </is>
      </c>
      <c r="I47">
        <f>VLOOKUP(B47,Data!A:B,2,FALSE)</f>
        <v/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B48" s="2" t="inlineStr">
        <is>
          <t>JPY</t>
        </is>
      </c>
      <c r="C48" t="inlineStr">
        <is>
          <t>JPY_C</t>
        </is>
      </c>
      <c r="D48" t="inlineStr">
        <is>
          <t>JPY_D</t>
        </is>
      </c>
      <c r="E48" t="inlineStr">
        <is>
          <t>JPY_E</t>
        </is>
      </c>
      <c r="F48" t="inlineStr">
        <is>
          <t>JPY_F</t>
        </is>
      </c>
      <c r="G48" t="inlineStr">
        <is>
          <t>JPY_G</t>
        </is>
      </c>
      <c r="H48" t="inlineStr">
        <is>
          <t>JPY_H</t>
        </is>
      </c>
      <c r="I48">
        <f>VLOOKUP(B48,Data!A:B,2,FALSE)</f>
        <v/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B49" s="2" t="inlineStr">
        <is>
          <t>TWD</t>
        </is>
      </c>
      <c r="C49" t="inlineStr">
        <is>
          <t>TWD_C</t>
        </is>
      </c>
      <c r="D49" t="inlineStr">
        <is>
          <t>TWD_D</t>
        </is>
      </c>
      <c r="E49" t="inlineStr">
        <is>
          <t>TWD_E</t>
        </is>
      </c>
      <c r="F49" t="inlineStr">
        <is>
          <t>TWD_F</t>
        </is>
      </c>
      <c r="G49" t="inlineStr">
        <is>
          <t>TWD_G</t>
        </is>
      </c>
      <c r="H49" t="inlineStr">
        <is>
          <t>TWD_H</t>
        </is>
      </c>
      <c r="I49">
        <f>VLOOKUP(B49,Data!A:B,2,FALSE)</f>
        <v/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B50" s="2" t="inlineStr">
        <is>
          <t>KRW</t>
        </is>
      </c>
      <c r="C50" t="inlineStr">
        <is>
          <t>KRW_C</t>
        </is>
      </c>
      <c r="D50" t="inlineStr">
        <is>
          <t>KRW_D</t>
        </is>
      </c>
      <c r="E50" t="inlineStr">
        <is>
          <t>KRW_E</t>
        </is>
      </c>
      <c r="F50" t="inlineStr">
        <is>
          <t>KRW_F</t>
        </is>
      </c>
      <c r="G50" t="inlineStr">
        <is>
          <t>KRW_G</t>
        </is>
      </c>
      <c r="H50" t="inlineStr">
        <is>
          <t>KRW_H</t>
        </is>
      </c>
      <c r="I50">
        <f>VLOOKUP(B50,Data!A:B,2,FALSE)</f>
        <v/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B51" s="2" t="inlineStr">
        <is>
          <t>RMB</t>
        </is>
      </c>
      <c r="C51" t="inlineStr">
        <is>
          <t>RMB_C</t>
        </is>
      </c>
      <c r="D51" t="inlineStr">
        <is>
          <t>RMB_D</t>
        </is>
      </c>
      <c r="E51" t="inlineStr">
        <is>
          <t>RMB_E</t>
        </is>
      </c>
      <c r="F51" t="inlineStr">
        <is>
          <t>RMB_F</t>
        </is>
      </c>
      <c r="G51" t="inlineStr">
        <is>
          <t>RMB_G</t>
        </is>
      </c>
      <c r="H51" t="inlineStr">
        <is>
          <t>RMB_H</t>
        </is>
      </c>
      <c r="I51">
        <f>VLOOKUP(B51,Data!A:B,2,FALSE)</f>
        <v/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B52" s="2" t="inlineStr">
        <is>
          <t>PHP</t>
        </is>
      </c>
      <c r="C52" t="inlineStr">
        <is>
          <t>PHP_C</t>
        </is>
      </c>
      <c r="D52" t="inlineStr">
        <is>
          <t>PHP_D</t>
        </is>
      </c>
      <c r="E52" t="inlineStr">
        <is>
          <t>PHP_E</t>
        </is>
      </c>
      <c r="F52" t="inlineStr">
        <is>
          <t>PHP_F</t>
        </is>
      </c>
      <c r="G52" t="inlineStr">
        <is>
          <t>PHP_G</t>
        </is>
      </c>
      <c r="H52" t="inlineStr">
        <is>
          <t>PHP_H</t>
        </is>
      </c>
      <c r="I52">
        <f>VLOOKUP(B52,Data!A:B,2,FALSE)</f>
        <v/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B53" s="2" t="inlineStr">
        <is>
          <t>IDR</t>
        </is>
      </c>
      <c r="C53" t="inlineStr">
        <is>
          <t>IDR_C</t>
        </is>
      </c>
      <c r="D53" t="inlineStr">
        <is>
          <t>IDR_D</t>
        </is>
      </c>
      <c r="E53" t="inlineStr">
        <is>
          <t>IDR_E</t>
        </is>
      </c>
      <c r="F53" t="inlineStr">
        <is>
          <t>IDR_F</t>
        </is>
      </c>
      <c r="G53" t="inlineStr">
        <is>
          <t>IDR_G</t>
        </is>
      </c>
      <c r="H53" t="inlineStr">
        <is>
          <t>IDR_H</t>
        </is>
      </c>
      <c r="I53">
        <f>VLOOKUP(B53,Data!A:B,2,FALSE)</f>
        <v/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B54" s="2" t="inlineStr">
        <is>
          <t>THB</t>
        </is>
      </c>
      <c r="C54" t="inlineStr">
        <is>
          <t>THB_C</t>
        </is>
      </c>
      <c r="D54" t="inlineStr">
        <is>
          <t>THB_D</t>
        </is>
      </c>
      <c r="E54" t="inlineStr">
        <is>
          <t>THB_E</t>
        </is>
      </c>
      <c r="F54" t="inlineStr">
        <is>
          <t>THB_F</t>
        </is>
      </c>
      <c r="G54" t="inlineStr">
        <is>
          <t>THB_G</t>
        </is>
      </c>
      <c r="H54" t="inlineStr">
        <is>
          <t>THB_H</t>
        </is>
      </c>
      <c r="I54">
        <f>VLOOKUP(B54,Data!A:B,2,FALSE)</f>
        <v/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3" t="n"/>
      <c r="B55" s="4" t="inlineStr">
        <is>
          <t>VND</t>
        </is>
      </c>
      <c r="C55" s="3" t="inlineStr">
        <is>
          <t>VND_C</t>
        </is>
      </c>
      <c r="D55" s="3" t="inlineStr">
        <is>
          <t>VND_D</t>
        </is>
      </c>
      <c r="E55" s="3" t="inlineStr">
        <is>
          <t>VND_E</t>
        </is>
      </c>
      <c r="F55" s="3" t="inlineStr">
        <is>
          <t>VND_F</t>
        </is>
      </c>
      <c r="G55" s="3" t="inlineStr">
        <is>
          <t>VND_G</t>
        </is>
      </c>
      <c r="H55" s="3" t="inlineStr">
        <is>
          <t>VND_H</t>
        </is>
      </c>
      <c r="I55" s="3">
        <f>VLOOKUP(B55,Data!A:B,2,FALSE)</f>
        <v/>
      </c>
      <c r="J55" s="3" t="n"/>
      <c r="K55" s="3" t="n"/>
      <c r="L55" s="3" t="n"/>
      <c r="M55" s="3" t="n"/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</row>
    <row r="56">
      <c r="A56" s="5" t="n"/>
      <c r="B56" s="6" t="inlineStr">
        <is>
          <t>MYR</t>
        </is>
      </c>
      <c r="C56" s="5" t="inlineStr">
        <is>
          <t>MYR_C</t>
        </is>
      </c>
      <c r="D56" s="5" t="inlineStr">
        <is>
          <t>MYR_D</t>
        </is>
      </c>
      <c r="E56" s="5" t="inlineStr">
        <is>
          <t>MYR_E</t>
        </is>
      </c>
      <c r="F56" s="5" t="inlineStr">
        <is>
          <t>MYR_F</t>
        </is>
      </c>
      <c r="G56" s="5" t="inlineStr">
        <is>
          <t>MYR_G</t>
        </is>
      </c>
      <c r="H56" s="5" t="inlineStr">
        <is>
          <t>MYR_H</t>
        </is>
      </c>
      <c r="I56" s="5">
        <f>VLOOKUP(B56,Data!A:B,2,FALSE)</f>
        <v/>
      </c>
      <c r="J56" s="5" t="n"/>
      <c r="K56" s="5" t="n"/>
      <c r="L56" s="5" t="n"/>
      <c r="M56" s="5" t="n"/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  <c r="U56" s="5" t="n">
        <v>0</v>
      </c>
      <c r="V56" s="5" t="n">
        <v>0</v>
      </c>
      <c r="W56" s="5" t="n">
        <v>0</v>
      </c>
      <c r="X56" s="5" t="n">
        <v>0</v>
      </c>
      <c r="Y56" s="5" t="n">
        <v>0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</row>
    <row r="57">
      <c r="B57" s="2" t="inlineStr">
        <is>
          <t>INR</t>
        </is>
      </c>
      <c r="C57" t="inlineStr">
        <is>
          <t>INR_C</t>
        </is>
      </c>
      <c r="D57" t="inlineStr">
        <is>
          <t>INR_D</t>
        </is>
      </c>
      <c r="E57" t="inlineStr">
        <is>
          <t>INR_E</t>
        </is>
      </c>
      <c r="F57" t="inlineStr">
        <is>
          <t>INR_F</t>
        </is>
      </c>
      <c r="G57" t="inlineStr">
        <is>
          <t>INR_G</t>
        </is>
      </c>
      <c r="H57" t="inlineStr">
        <is>
          <t>INR_H</t>
        </is>
      </c>
      <c r="I57">
        <f>VLOOKUP(B57,Data!A:B,2,FALSE)</f>
        <v/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B58" s="2" t="inlineStr">
        <is>
          <t>EUR</t>
        </is>
      </c>
      <c r="C58" t="inlineStr">
        <is>
          <t>EUR_C</t>
        </is>
      </c>
      <c r="D58" t="inlineStr">
        <is>
          <t>EUR_D</t>
        </is>
      </c>
      <c r="E58" t="inlineStr">
        <is>
          <t>EUR_E</t>
        </is>
      </c>
      <c r="F58" t="inlineStr">
        <is>
          <t>EUR_F</t>
        </is>
      </c>
      <c r="G58" t="inlineStr">
        <is>
          <t>EUR_G</t>
        </is>
      </c>
      <c r="H58" t="inlineStr">
        <is>
          <t>EUR_H</t>
        </is>
      </c>
      <c r="I58">
        <f>VLOOKUP(B58,Data!A:B,2,FALSE)</f>
        <v/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B59" s="2" t="inlineStr">
        <is>
          <t>USD</t>
        </is>
      </c>
      <c r="C59" t="inlineStr">
        <is>
          <t>USD_C</t>
        </is>
      </c>
      <c r="D59" t="inlineStr">
        <is>
          <t>USD_D</t>
        </is>
      </c>
      <c r="E59" t="inlineStr">
        <is>
          <t>USD_E</t>
        </is>
      </c>
      <c r="F59" t="inlineStr">
        <is>
          <t>USD_F</t>
        </is>
      </c>
      <c r="G59" t="inlineStr">
        <is>
          <t>USD_G</t>
        </is>
      </c>
      <c r="H59" t="inlineStr">
        <is>
          <t>USD_H</t>
        </is>
      </c>
      <c r="I59">
        <f>VLOOKUP(B59,Data!A:B,2,FALSE)</f>
        <v/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B60" s="2" t="inlineStr">
        <is>
          <t>GBP</t>
        </is>
      </c>
      <c r="C60" t="inlineStr">
        <is>
          <t>GBP_C</t>
        </is>
      </c>
      <c r="D60" t="inlineStr">
        <is>
          <t>GBP_D</t>
        </is>
      </c>
      <c r="E60" t="inlineStr">
        <is>
          <t>GBP_E</t>
        </is>
      </c>
      <c r="F60" t="inlineStr">
        <is>
          <t>GBP_F</t>
        </is>
      </c>
      <c r="G60" t="inlineStr">
        <is>
          <t>GBP_G</t>
        </is>
      </c>
      <c r="H60" t="inlineStr">
        <is>
          <t>GBP_H</t>
        </is>
      </c>
      <c r="I60">
        <f>VLOOKUP(B60,Data!A:B,2,FALSE)</f>
        <v/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B61" s="2" t="inlineStr">
        <is>
          <t>AUD</t>
        </is>
      </c>
      <c r="C61" t="inlineStr">
        <is>
          <t>AUD_C</t>
        </is>
      </c>
      <c r="D61" t="inlineStr">
        <is>
          <t>AUD_D</t>
        </is>
      </c>
      <c r="E61" t="inlineStr">
        <is>
          <t>AUD_E</t>
        </is>
      </c>
      <c r="F61" t="inlineStr">
        <is>
          <t>AUD_F</t>
        </is>
      </c>
      <c r="G61" t="inlineStr">
        <is>
          <t>AUD_G</t>
        </is>
      </c>
      <c r="H61" t="inlineStr">
        <is>
          <t>AUD_H</t>
        </is>
      </c>
      <c r="I61">
        <f>VLOOKUP(B61,Data!A:B,2,FALSE)</f>
        <v/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B62" s="2" t="inlineStr">
        <is>
          <t>OTH</t>
        </is>
      </c>
      <c r="C62" t="inlineStr">
        <is>
          <t>OTH_C</t>
        </is>
      </c>
      <c r="D62" t="inlineStr">
        <is>
          <t>OTH_D</t>
        </is>
      </c>
      <c r="E62" t="inlineStr">
        <is>
          <t>OTH_E</t>
        </is>
      </c>
      <c r="F62" t="inlineStr">
        <is>
          <t>OTH_F</t>
        </is>
      </c>
      <c r="G62" t="inlineStr">
        <is>
          <t>OTH_G</t>
        </is>
      </c>
      <c r="H62" t="inlineStr">
        <is>
          <t>OTH_H</t>
        </is>
      </c>
      <c r="I62">
        <f>VLOOKUP(B62,Data!A:B,2,FALSE)</f>
        <v/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/>
    <row r="64"/>
    <row r="65"/>
    <row r="66">
      <c r="A66" s="2" t="inlineStr">
        <is>
          <t>Total MC Credit Cards</t>
        </is>
      </c>
      <c r="B66" s="2" t="inlineStr">
        <is>
          <t>TOTAL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>
        <f>SUM(N47:N65)</f>
        <v/>
      </c>
      <c r="O66" s="2">
        <f>SUM(O47:O65)</f>
        <v/>
      </c>
      <c r="P66" s="2">
        <f>SUM(P47:P65)</f>
        <v/>
      </c>
      <c r="Q66" s="2">
        <f>SUM(Q47:Q65)</f>
        <v/>
      </c>
      <c r="R66" s="2">
        <f>SUM(R47:R65)</f>
        <v/>
      </c>
      <c r="S66" s="2">
        <f>SUM(S47:S65)</f>
        <v/>
      </c>
      <c r="T66" s="2">
        <f>SUM(T47:T65)</f>
        <v/>
      </c>
      <c r="U66" s="2">
        <f>SUM(U47:U65)</f>
        <v/>
      </c>
      <c r="V66" s="2">
        <f>SUM(V47:V65)</f>
        <v/>
      </c>
      <c r="W66" s="2">
        <f>SUM(W47:W65)</f>
        <v/>
      </c>
      <c r="X66" s="2">
        <f>SUM(X47:X65)</f>
        <v/>
      </c>
      <c r="Y66" s="2">
        <f>SUM(Y47:Y65)</f>
        <v/>
      </c>
      <c r="Z66" s="2">
        <f>SUM(Z47:Z65)</f>
        <v/>
      </c>
      <c r="AA66" s="2">
        <f>SUM(AA47:AA65)</f>
        <v/>
      </c>
      <c r="AB66" s="2">
        <f>SUM(AB47:AB65)</f>
        <v/>
      </c>
      <c r="AC66" s="2">
        <f>SUM(AC47:AC65)</f>
        <v/>
      </c>
      <c r="AD66" s="2">
        <f>SUM(AD47:AD65)</f>
        <v/>
      </c>
      <c r="AE66" s="2">
        <f>SUM(AE47:AE65)</f>
        <v/>
      </c>
      <c r="AF66" s="2">
        <f>SUM(AF47:AF65)</f>
        <v/>
      </c>
      <c r="AG66" s="2">
        <f>SUM(AG47:AG65)</f>
        <v/>
      </c>
      <c r="AH66" s="2">
        <f>SUM(AH47:AH65)</f>
        <v/>
      </c>
      <c r="AJ66" s="2">
        <f>SUM(N66,O66,P66)</f>
        <v/>
      </c>
      <c r="AK66" s="2">
        <f>SUM(Q66,R66,S66)</f>
        <v/>
      </c>
      <c r="AL66" s="2">
        <f>SUM(T66,U66,V66)</f>
        <v/>
      </c>
      <c r="AM66" s="2">
        <f>SUM(W66,X66,Y66)</f>
        <v/>
      </c>
      <c r="AN66" s="2">
        <f>SUM(Z66,AA66,AB66)</f>
        <v/>
      </c>
      <c r="AO66" s="2">
        <f>SUM(AC66,AD66,AE66)</f>
        <v/>
      </c>
      <c r="AP66" s="2">
        <f>SUM(AF66,AG66,AH66)</f>
        <v/>
      </c>
      <c r="AQ66" s="2">
        <f>SUM(AI66,AJ66,AK66)</f>
        <v/>
      </c>
      <c r="AR66" s="2">
        <f>SUM(AL66,AM66,AN66)</f>
        <v/>
      </c>
    </row>
    <row r="67">
      <c r="A67" s="2" t="inlineStr">
        <is>
          <t>MC Debit Cards</t>
        </is>
      </c>
      <c r="B67" s="2" t="inlineStr">
        <is>
          <t>HKD</t>
        </is>
      </c>
      <c r="C67" t="inlineStr">
        <is>
          <t>HKD_C</t>
        </is>
      </c>
      <c r="D67" t="inlineStr">
        <is>
          <t>HKD_D</t>
        </is>
      </c>
      <c r="E67" t="inlineStr">
        <is>
          <t>HKD_E</t>
        </is>
      </c>
      <c r="F67" t="inlineStr">
        <is>
          <t>HKD_F</t>
        </is>
      </c>
      <c r="G67" t="inlineStr">
        <is>
          <t>HKD_G</t>
        </is>
      </c>
      <c r="H67" t="inlineStr">
        <is>
          <t>HKD_H</t>
        </is>
      </c>
      <c r="I67">
        <f>VLOOKUP(B67,Data!A:B,2,FALSE)</f>
        <v/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B68" s="2" t="inlineStr">
        <is>
          <t>JPY</t>
        </is>
      </c>
      <c r="C68" t="inlineStr">
        <is>
          <t>JPY_C</t>
        </is>
      </c>
      <c r="D68" t="inlineStr">
        <is>
          <t>JPY_D</t>
        </is>
      </c>
      <c r="E68" t="inlineStr">
        <is>
          <t>JPY_E</t>
        </is>
      </c>
      <c r="F68" t="inlineStr">
        <is>
          <t>JPY_F</t>
        </is>
      </c>
      <c r="G68" t="inlineStr">
        <is>
          <t>JPY_G</t>
        </is>
      </c>
      <c r="H68" t="inlineStr">
        <is>
          <t>JPY_H</t>
        </is>
      </c>
      <c r="I68">
        <f>VLOOKUP(B68,Data!A:B,2,FALSE)</f>
        <v/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B69" s="2" t="inlineStr">
        <is>
          <t>TWD</t>
        </is>
      </c>
      <c r="C69" t="inlineStr">
        <is>
          <t>TWD_C</t>
        </is>
      </c>
      <c r="D69" t="inlineStr">
        <is>
          <t>TWD_D</t>
        </is>
      </c>
      <c r="E69" t="inlineStr">
        <is>
          <t>TWD_E</t>
        </is>
      </c>
      <c r="F69" t="inlineStr">
        <is>
          <t>TWD_F</t>
        </is>
      </c>
      <c r="G69" t="inlineStr">
        <is>
          <t>TWD_G</t>
        </is>
      </c>
      <c r="H69" t="inlineStr">
        <is>
          <t>TWD_H</t>
        </is>
      </c>
      <c r="I69">
        <f>VLOOKUP(B69,Data!A:B,2,FALSE)</f>
        <v/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B70" s="2" t="inlineStr">
        <is>
          <t>KRW</t>
        </is>
      </c>
      <c r="C70" t="inlineStr">
        <is>
          <t>KRW_C</t>
        </is>
      </c>
      <c r="D70" t="inlineStr">
        <is>
          <t>KRW_D</t>
        </is>
      </c>
      <c r="E70" t="inlineStr">
        <is>
          <t>KRW_E</t>
        </is>
      </c>
      <c r="F70" t="inlineStr">
        <is>
          <t>KRW_F</t>
        </is>
      </c>
      <c r="G70" t="inlineStr">
        <is>
          <t>KRW_G</t>
        </is>
      </c>
      <c r="H70" t="inlineStr">
        <is>
          <t>KRW_H</t>
        </is>
      </c>
      <c r="I70">
        <f>VLOOKUP(B70,Data!A:B,2,FALSE)</f>
        <v/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B71" s="2" t="inlineStr">
        <is>
          <t>RMB</t>
        </is>
      </c>
      <c r="C71" t="inlineStr">
        <is>
          <t>RMB_C</t>
        </is>
      </c>
      <c r="D71" t="inlineStr">
        <is>
          <t>RMB_D</t>
        </is>
      </c>
      <c r="E71" t="inlineStr">
        <is>
          <t>RMB_E</t>
        </is>
      </c>
      <c r="F71" t="inlineStr">
        <is>
          <t>RMB_F</t>
        </is>
      </c>
      <c r="G71" t="inlineStr">
        <is>
          <t>RMB_G</t>
        </is>
      </c>
      <c r="H71" t="inlineStr">
        <is>
          <t>RMB_H</t>
        </is>
      </c>
      <c r="I71">
        <f>VLOOKUP(B71,Data!A:B,2,FALSE)</f>
        <v/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B72" s="2" t="inlineStr">
        <is>
          <t>PHP</t>
        </is>
      </c>
      <c r="C72" t="inlineStr">
        <is>
          <t>PHP_C</t>
        </is>
      </c>
      <c r="D72" t="inlineStr">
        <is>
          <t>PHP_D</t>
        </is>
      </c>
      <c r="E72" t="inlineStr">
        <is>
          <t>PHP_E</t>
        </is>
      </c>
      <c r="F72" t="inlineStr">
        <is>
          <t>PHP_F</t>
        </is>
      </c>
      <c r="G72" t="inlineStr">
        <is>
          <t>PHP_G</t>
        </is>
      </c>
      <c r="H72" t="inlineStr">
        <is>
          <t>PHP_H</t>
        </is>
      </c>
      <c r="I72">
        <f>VLOOKUP(B72,Data!A:B,2,FALSE)</f>
        <v/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B73" s="2" t="inlineStr">
        <is>
          <t>IDR</t>
        </is>
      </c>
      <c r="C73" t="inlineStr">
        <is>
          <t>IDR_C</t>
        </is>
      </c>
      <c r="D73" t="inlineStr">
        <is>
          <t>IDR_D</t>
        </is>
      </c>
      <c r="E73" t="inlineStr">
        <is>
          <t>IDR_E</t>
        </is>
      </c>
      <c r="F73" t="inlineStr">
        <is>
          <t>IDR_F</t>
        </is>
      </c>
      <c r="G73" t="inlineStr">
        <is>
          <t>IDR_G</t>
        </is>
      </c>
      <c r="H73" t="inlineStr">
        <is>
          <t>IDR_H</t>
        </is>
      </c>
      <c r="I73">
        <f>VLOOKUP(B73,Data!A:B,2,FALSE)</f>
        <v/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B74" s="2" t="inlineStr">
        <is>
          <t>THB</t>
        </is>
      </c>
      <c r="C74" t="inlineStr">
        <is>
          <t>THB_C</t>
        </is>
      </c>
      <c r="D74" t="inlineStr">
        <is>
          <t>THB_D</t>
        </is>
      </c>
      <c r="E74" t="inlineStr">
        <is>
          <t>THB_E</t>
        </is>
      </c>
      <c r="F74" t="inlineStr">
        <is>
          <t>THB_F</t>
        </is>
      </c>
      <c r="G74" t="inlineStr">
        <is>
          <t>THB_G</t>
        </is>
      </c>
      <c r="H74" t="inlineStr">
        <is>
          <t>THB_H</t>
        </is>
      </c>
      <c r="I74">
        <f>VLOOKUP(B74,Data!A:B,2,FALSE)</f>
        <v/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s="3" t="n"/>
      <c r="B75" s="4" t="inlineStr">
        <is>
          <t>VND</t>
        </is>
      </c>
      <c r="C75" s="3" t="inlineStr">
        <is>
          <t>VND_C</t>
        </is>
      </c>
      <c r="D75" s="3" t="inlineStr">
        <is>
          <t>VND_D</t>
        </is>
      </c>
      <c r="E75" s="3" t="inlineStr">
        <is>
          <t>VND_E</t>
        </is>
      </c>
      <c r="F75" s="3" t="inlineStr">
        <is>
          <t>VND_F</t>
        </is>
      </c>
      <c r="G75" s="3" t="inlineStr">
        <is>
          <t>VND_G</t>
        </is>
      </c>
      <c r="H75" s="3" t="inlineStr">
        <is>
          <t>VND_H</t>
        </is>
      </c>
      <c r="I75" s="3">
        <f>VLOOKUP(B75,Data!A:B,2,FALSE)</f>
        <v/>
      </c>
      <c r="J75" s="3" t="n"/>
      <c r="K75" s="3" t="n"/>
      <c r="L75" s="3" t="n"/>
      <c r="M75" s="3" t="n"/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</row>
    <row r="76">
      <c r="A76" s="5" t="n"/>
      <c r="B76" s="6" t="inlineStr">
        <is>
          <t>MYR</t>
        </is>
      </c>
      <c r="C76" s="5" t="inlineStr">
        <is>
          <t>MYR_C</t>
        </is>
      </c>
      <c r="D76" s="5" t="inlineStr">
        <is>
          <t>MYR_D</t>
        </is>
      </c>
      <c r="E76" s="5" t="inlineStr">
        <is>
          <t>MYR_E</t>
        </is>
      </c>
      <c r="F76" s="5" t="inlineStr">
        <is>
          <t>MYR_F</t>
        </is>
      </c>
      <c r="G76" s="5" t="inlineStr">
        <is>
          <t>MYR_G</t>
        </is>
      </c>
      <c r="H76" s="5" t="inlineStr">
        <is>
          <t>MYR_H</t>
        </is>
      </c>
      <c r="I76" s="5">
        <f>VLOOKUP(B76,Data!A:B,2,FALSE)</f>
        <v/>
      </c>
      <c r="J76" s="5" t="n"/>
      <c r="K76" s="5" t="n"/>
      <c r="L76" s="5" t="n"/>
      <c r="M76" s="5" t="n"/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  <c r="U76" s="5" t="n">
        <v>0</v>
      </c>
      <c r="V76" s="5" t="n">
        <v>0</v>
      </c>
      <c r="W76" s="5" t="n">
        <v>0</v>
      </c>
      <c r="X76" s="5" t="n">
        <v>0</v>
      </c>
      <c r="Y76" s="5" t="n">
        <v>0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</row>
    <row r="77">
      <c r="B77" s="2" t="inlineStr">
        <is>
          <t>INR</t>
        </is>
      </c>
      <c r="C77" t="inlineStr">
        <is>
          <t>INR_C</t>
        </is>
      </c>
      <c r="D77" t="inlineStr">
        <is>
          <t>INR_D</t>
        </is>
      </c>
      <c r="E77" t="inlineStr">
        <is>
          <t>INR_E</t>
        </is>
      </c>
      <c r="F77" t="inlineStr">
        <is>
          <t>INR_F</t>
        </is>
      </c>
      <c r="G77" t="inlineStr">
        <is>
          <t>INR_G</t>
        </is>
      </c>
      <c r="H77" t="inlineStr">
        <is>
          <t>INR_H</t>
        </is>
      </c>
      <c r="I77">
        <f>VLOOKUP(B77,Data!A:B,2,FALSE)</f>
        <v/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B78" s="2" t="inlineStr">
        <is>
          <t>EUR</t>
        </is>
      </c>
      <c r="C78" t="inlineStr">
        <is>
          <t>EUR_C</t>
        </is>
      </c>
      <c r="D78" t="inlineStr">
        <is>
          <t>EUR_D</t>
        </is>
      </c>
      <c r="E78" t="inlineStr">
        <is>
          <t>EUR_E</t>
        </is>
      </c>
      <c r="F78" t="inlineStr">
        <is>
          <t>EUR_F</t>
        </is>
      </c>
      <c r="G78" t="inlineStr">
        <is>
          <t>EUR_G</t>
        </is>
      </c>
      <c r="H78" t="inlineStr">
        <is>
          <t>EUR_H</t>
        </is>
      </c>
      <c r="I78">
        <f>VLOOKUP(B78,Data!A:B,2,FALSE)</f>
        <v/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B79" s="2" t="inlineStr">
        <is>
          <t>USD</t>
        </is>
      </c>
      <c r="C79" t="inlineStr">
        <is>
          <t>USD_C</t>
        </is>
      </c>
      <c r="D79" t="inlineStr">
        <is>
          <t>USD_D</t>
        </is>
      </c>
      <c r="E79" t="inlineStr">
        <is>
          <t>USD_E</t>
        </is>
      </c>
      <c r="F79" t="inlineStr">
        <is>
          <t>USD_F</t>
        </is>
      </c>
      <c r="G79" t="inlineStr">
        <is>
          <t>USD_G</t>
        </is>
      </c>
      <c r="H79" t="inlineStr">
        <is>
          <t>USD_H</t>
        </is>
      </c>
      <c r="I79">
        <f>VLOOKUP(B79,Data!A:B,2,FALSE)</f>
        <v/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B80" s="2" t="inlineStr">
        <is>
          <t>GBP</t>
        </is>
      </c>
      <c r="C80" t="inlineStr">
        <is>
          <t>GBP_C</t>
        </is>
      </c>
      <c r="D80" t="inlineStr">
        <is>
          <t>GBP_D</t>
        </is>
      </c>
      <c r="E80" t="inlineStr">
        <is>
          <t>GBP_E</t>
        </is>
      </c>
      <c r="F80" t="inlineStr">
        <is>
          <t>GBP_F</t>
        </is>
      </c>
      <c r="G80" t="inlineStr">
        <is>
          <t>GBP_G</t>
        </is>
      </c>
      <c r="H80" t="inlineStr">
        <is>
          <t>GBP_H</t>
        </is>
      </c>
      <c r="I80">
        <f>VLOOKUP(B80,Data!A:B,2,FALSE)</f>
        <v/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B81" s="2" t="inlineStr">
        <is>
          <t>AUD</t>
        </is>
      </c>
      <c r="C81" t="inlineStr">
        <is>
          <t>AUD_C</t>
        </is>
      </c>
      <c r="D81" t="inlineStr">
        <is>
          <t>AUD_D</t>
        </is>
      </c>
      <c r="E81" t="inlineStr">
        <is>
          <t>AUD_E</t>
        </is>
      </c>
      <c r="F81" t="inlineStr">
        <is>
          <t>AUD_F</t>
        </is>
      </c>
      <c r="G81" t="inlineStr">
        <is>
          <t>AUD_G</t>
        </is>
      </c>
      <c r="H81" t="inlineStr">
        <is>
          <t>AUD_H</t>
        </is>
      </c>
      <c r="I81">
        <f>VLOOKUP(B81,Data!A:B,2,FALSE)</f>
        <v/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B82" s="2" t="inlineStr">
        <is>
          <t>OTH</t>
        </is>
      </c>
      <c r="C82" t="inlineStr">
        <is>
          <t>OTH_C</t>
        </is>
      </c>
      <c r="D82" t="inlineStr">
        <is>
          <t>OTH_D</t>
        </is>
      </c>
      <c r="E82" t="inlineStr">
        <is>
          <t>OTH_E</t>
        </is>
      </c>
      <c r="F82" t="inlineStr">
        <is>
          <t>OTH_F</t>
        </is>
      </c>
      <c r="G82" t="inlineStr">
        <is>
          <t>OTH_G</t>
        </is>
      </c>
      <c r="H82" t="inlineStr">
        <is>
          <t>OTH_H</t>
        </is>
      </c>
      <c r="I82">
        <f>VLOOKUP(B82,Data!A:B,2,FALSE)</f>
        <v/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</row>
    <row r="83"/>
    <row r="84"/>
    <row r="85"/>
    <row r="86">
      <c r="A86" s="2" t="inlineStr">
        <is>
          <t>Total MC Debit Cards</t>
        </is>
      </c>
      <c r="B86" s="2" t="inlineStr">
        <is>
          <t>TOTAL</t>
        </is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SUM(N67:N85)</f>
        <v/>
      </c>
      <c r="O86" s="2">
        <f>SUM(O67:O85)</f>
        <v/>
      </c>
      <c r="P86" s="2">
        <f>SUM(P67:P85)</f>
        <v/>
      </c>
      <c r="Q86" s="2">
        <f>SUM(Q67:Q85)</f>
        <v/>
      </c>
      <c r="R86" s="2">
        <f>SUM(R67:R85)</f>
        <v/>
      </c>
      <c r="S86" s="2">
        <f>SUM(S67:S85)</f>
        <v/>
      </c>
      <c r="T86" s="2">
        <f>SUM(T67:T85)</f>
        <v/>
      </c>
      <c r="U86" s="2">
        <f>SUM(U67:U85)</f>
        <v/>
      </c>
      <c r="V86" s="2">
        <f>SUM(V67:V85)</f>
        <v/>
      </c>
      <c r="W86" s="2">
        <f>SUM(W67:W85)</f>
        <v/>
      </c>
      <c r="X86" s="2">
        <f>SUM(X67:X85)</f>
        <v/>
      </c>
      <c r="Y86" s="2">
        <f>SUM(Y67:Y85)</f>
        <v/>
      </c>
      <c r="Z86" s="2">
        <f>SUM(Z67:Z85)</f>
        <v/>
      </c>
      <c r="AA86" s="2">
        <f>SUM(AA67:AA85)</f>
        <v/>
      </c>
      <c r="AB86" s="2">
        <f>SUM(AB67:AB85)</f>
        <v/>
      </c>
      <c r="AC86" s="2">
        <f>SUM(AC67:AC85)</f>
        <v/>
      </c>
      <c r="AD86" s="2">
        <f>SUM(AD67:AD85)</f>
        <v/>
      </c>
      <c r="AE86" s="2">
        <f>SUM(AE67:AE85)</f>
        <v/>
      </c>
      <c r="AF86" s="2">
        <f>SUM(AF67:AF85)</f>
        <v/>
      </c>
      <c r="AG86" s="2">
        <f>SUM(AG67:AG85)</f>
        <v/>
      </c>
      <c r="AH86" s="2">
        <f>SUM(AH67:AH85)</f>
        <v/>
      </c>
      <c r="AJ86" s="2">
        <f>SUM(N86,O86,P86)</f>
        <v/>
      </c>
      <c r="AK86" s="2">
        <f>SUM(Q86,R86,S86)</f>
        <v/>
      </c>
      <c r="AL86" s="2">
        <f>SUM(T86,U86,V86)</f>
        <v/>
      </c>
      <c r="AM86" s="2">
        <f>SUM(W86,X86,Y86)</f>
        <v/>
      </c>
      <c r="AN86" s="2">
        <f>SUM(Z86,AA86,AB86)</f>
        <v/>
      </c>
      <c r="AO86" s="2">
        <f>SUM(AC86,AD86,AE86)</f>
        <v/>
      </c>
      <c r="AP86" s="2">
        <f>SUM(AF86,AG86,AH86)</f>
        <v/>
      </c>
      <c r="AQ86" s="2">
        <f>SUM(AI86,AJ86,AK86)</f>
        <v/>
      </c>
      <c r="AR86" s="2">
        <f>SUM(AL86,AM86,AN86)</f>
        <v/>
      </c>
    </row>
    <row r="87">
      <c r="A87" s="2" t="inlineStr">
        <is>
          <t>Visa Credit Cards</t>
        </is>
      </c>
      <c r="B87" s="2" t="inlineStr">
        <is>
          <t>HKD</t>
        </is>
      </c>
      <c r="C87" t="inlineStr">
        <is>
          <t>HKD_C</t>
        </is>
      </c>
      <c r="D87" t="inlineStr">
        <is>
          <t>HKD_D</t>
        </is>
      </c>
      <c r="E87" t="inlineStr">
        <is>
          <t>HKD_E</t>
        </is>
      </c>
      <c r="F87" t="inlineStr">
        <is>
          <t>HKD_F</t>
        </is>
      </c>
      <c r="G87" t="inlineStr">
        <is>
          <t>HKD_G</t>
        </is>
      </c>
      <c r="H87" t="inlineStr">
        <is>
          <t>HKD_H</t>
        </is>
      </c>
      <c r="I87">
        <f>VLOOKUP(B87,Data!A:B,2,FALSE)</f>
        <v/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</row>
    <row r="88">
      <c r="B88" s="2" t="inlineStr">
        <is>
          <t>JPY</t>
        </is>
      </c>
      <c r="C88" t="inlineStr">
        <is>
          <t>JPY_C</t>
        </is>
      </c>
      <c r="D88" t="inlineStr">
        <is>
          <t>JPY_D</t>
        </is>
      </c>
      <c r="E88" t="inlineStr">
        <is>
          <t>JPY_E</t>
        </is>
      </c>
      <c r="F88" t="inlineStr">
        <is>
          <t>JPY_F</t>
        </is>
      </c>
      <c r="G88" t="inlineStr">
        <is>
          <t>JPY_G</t>
        </is>
      </c>
      <c r="H88" t="inlineStr">
        <is>
          <t>JPY_H</t>
        </is>
      </c>
      <c r="I88">
        <f>VLOOKUP(B88,Data!A:B,2,FALSE)</f>
        <v/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B89" s="2" t="inlineStr">
        <is>
          <t>TWD</t>
        </is>
      </c>
      <c r="C89" t="inlineStr">
        <is>
          <t>TWD_C</t>
        </is>
      </c>
      <c r="D89" t="inlineStr">
        <is>
          <t>TWD_D</t>
        </is>
      </c>
      <c r="E89" t="inlineStr">
        <is>
          <t>TWD_E</t>
        </is>
      </c>
      <c r="F89" t="inlineStr">
        <is>
          <t>TWD_F</t>
        </is>
      </c>
      <c r="G89" t="inlineStr">
        <is>
          <t>TWD_G</t>
        </is>
      </c>
      <c r="H89" t="inlineStr">
        <is>
          <t>TWD_H</t>
        </is>
      </c>
      <c r="I89">
        <f>VLOOKUP(B89,Data!A:B,2,FALSE)</f>
        <v/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B90" s="2" t="inlineStr">
        <is>
          <t>KRW</t>
        </is>
      </c>
      <c r="C90" t="inlineStr">
        <is>
          <t>KRW_C</t>
        </is>
      </c>
      <c r="D90" t="inlineStr">
        <is>
          <t>KRW_D</t>
        </is>
      </c>
      <c r="E90" t="inlineStr">
        <is>
          <t>KRW_E</t>
        </is>
      </c>
      <c r="F90" t="inlineStr">
        <is>
          <t>KRW_F</t>
        </is>
      </c>
      <c r="G90" t="inlineStr">
        <is>
          <t>KRW_G</t>
        </is>
      </c>
      <c r="H90" t="inlineStr">
        <is>
          <t>KRW_H</t>
        </is>
      </c>
      <c r="I90">
        <f>VLOOKUP(B90,Data!A:B,2,FALSE)</f>
        <v/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</row>
    <row r="91">
      <c r="B91" s="2" t="inlineStr">
        <is>
          <t>RMB</t>
        </is>
      </c>
      <c r="C91" t="inlineStr">
        <is>
          <t>RMB_C</t>
        </is>
      </c>
      <c r="D91" t="inlineStr">
        <is>
          <t>RMB_D</t>
        </is>
      </c>
      <c r="E91" t="inlineStr">
        <is>
          <t>RMB_E</t>
        </is>
      </c>
      <c r="F91" t="inlineStr">
        <is>
          <t>RMB_F</t>
        </is>
      </c>
      <c r="G91" t="inlineStr">
        <is>
          <t>RMB_G</t>
        </is>
      </c>
      <c r="H91" t="inlineStr">
        <is>
          <t>RMB_H</t>
        </is>
      </c>
      <c r="I91">
        <f>VLOOKUP(B91,Data!A:B,2,FALSE)</f>
        <v/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B92" s="2" t="inlineStr">
        <is>
          <t>PHP</t>
        </is>
      </c>
      <c r="C92" t="inlineStr">
        <is>
          <t>PHP_C</t>
        </is>
      </c>
      <c r="D92" t="inlineStr">
        <is>
          <t>PHP_D</t>
        </is>
      </c>
      <c r="E92" t="inlineStr">
        <is>
          <t>PHP_E</t>
        </is>
      </c>
      <c r="F92" t="inlineStr">
        <is>
          <t>PHP_F</t>
        </is>
      </c>
      <c r="G92" t="inlineStr">
        <is>
          <t>PHP_G</t>
        </is>
      </c>
      <c r="H92" t="inlineStr">
        <is>
          <t>PHP_H</t>
        </is>
      </c>
      <c r="I92">
        <f>VLOOKUP(B92,Data!A:B,2,FALSE)</f>
        <v/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B93" s="2" t="inlineStr">
        <is>
          <t>IDR</t>
        </is>
      </c>
      <c r="C93" t="inlineStr">
        <is>
          <t>IDR_C</t>
        </is>
      </c>
      <c r="D93" t="inlineStr">
        <is>
          <t>IDR_D</t>
        </is>
      </c>
      <c r="E93" t="inlineStr">
        <is>
          <t>IDR_E</t>
        </is>
      </c>
      <c r="F93" t="inlineStr">
        <is>
          <t>IDR_F</t>
        </is>
      </c>
      <c r="G93" t="inlineStr">
        <is>
          <t>IDR_G</t>
        </is>
      </c>
      <c r="H93" t="inlineStr">
        <is>
          <t>IDR_H</t>
        </is>
      </c>
      <c r="I93">
        <f>VLOOKUP(B93,Data!A:B,2,FALSE)</f>
        <v/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</row>
    <row r="94">
      <c r="B94" s="2" t="inlineStr">
        <is>
          <t>THB</t>
        </is>
      </c>
      <c r="C94" t="inlineStr">
        <is>
          <t>THB_C</t>
        </is>
      </c>
      <c r="D94" t="inlineStr">
        <is>
          <t>THB_D</t>
        </is>
      </c>
      <c r="E94" t="inlineStr">
        <is>
          <t>THB_E</t>
        </is>
      </c>
      <c r="F94" t="inlineStr">
        <is>
          <t>THB_F</t>
        </is>
      </c>
      <c r="G94" t="inlineStr">
        <is>
          <t>THB_G</t>
        </is>
      </c>
      <c r="H94" t="inlineStr">
        <is>
          <t>THB_H</t>
        </is>
      </c>
      <c r="I94">
        <f>VLOOKUP(B94,Data!A:B,2,FALSE)</f>
        <v/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</row>
    <row r="95">
      <c r="A95" s="3" t="n"/>
      <c r="B95" s="4" t="inlineStr">
        <is>
          <t>VND</t>
        </is>
      </c>
      <c r="C95" s="3" t="inlineStr">
        <is>
          <t>VND_C</t>
        </is>
      </c>
      <c r="D95" s="3" t="inlineStr">
        <is>
          <t>VND_D</t>
        </is>
      </c>
      <c r="E95" s="3" t="inlineStr">
        <is>
          <t>VND_E</t>
        </is>
      </c>
      <c r="F95" s="3" t="inlineStr">
        <is>
          <t>VND_F</t>
        </is>
      </c>
      <c r="G95" s="3" t="inlineStr">
        <is>
          <t>VND_G</t>
        </is>
      </c>
      <c r="H95" s="3" t="inlineStr">
        <is>
          <t>VND_H</t>
        </is>
      </c>
      <c r="I95" s="3">
        <f>VLOOKUP(B95,Data!A:B,2,FALSE)</f>
        <v/>
      </c>
      <c r="J95" s="3" t="n"/>
      <c r="K95" s="3" t="n"/>
      <c r="L95" s="3" t="n"/>
      <c r="M95" s="3" t="n"/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</row>
    <row r="96">
      <c r="A96" s="5" t="n"/>
      <c r="B96" s="6" t="inlineStr">
        <is>
          <t>MYR</t>
        </is>
      </c>
      <c r="C96" s="5" t="inlineStr">
        <is>
          <t>MYR_C</t>
        </is>
      </c>
      <c r="D96" s="5" t="inlineStr">
        <is>
          <t>MYR_D</t>
        </is>
      </c>
      <c r="E96" s="5" t="inlineStr">
        <is>
          <t>MYR_E</t>
        </is>
      </c>
      <c r="F96" s="5" t="inlineStr">
        <is>
          <t>MYR_F</t>
        </is>
      </c>
      <c r="G96" s="5" t="inlineStr">
        <is>
          <t>MYR_G</t>
        </is>
      </c>
      <c r="H96" s="5" t="inlineStr">
        <is>
          <t>MYR_H</t>
        </is>
      </c>
      <c r="I96" s="5">
        <f>VLOOKUP(B96,Data!A:B,2,FALSE)</f>
        <v/>
      </c>
      <c r="J96" s="5" t="n"/>
      <c r="K96" s="5" t="n"/>
      <c r="L96" s="5" t="n"/>
      <c r="M96" s="5" t="n"/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</row>
    <row r="97">
      <c r="B97" s="2" t="inlineStr">
        <is>
          <t>INR</t>
        </is>
      </c>
      <c r="C97" t="inlineStr">
        <is>
          <t>INR_C</t>
        </is>
      </c>
      <c r="D97" t="inlineStr">
        <is>
          <t>INR_D</t>
        </is>
      </c>
      <c r="E97" t="inlineStr">
        <is>
          <t>INR_E</t>
        </is>
      </c>
      <c r="F97" t="inlineStr">
        <is>
          <t>INR_F</t>
        </is>
      </c>
      <c r="G97" t="inlineStr">
        <is>
          <t>INR_G</t>
        </is>
      </c>
      <c r="H97" t="inlineStr">
        <is>
          <t>INR_H</t>
        </is>
      </c>
      <c r="I97">
        <f>VLOOKUP(B97,Data!A:B,2,FALSE)</f>
        <v/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B98" s="2" t="inlineStr">
        <is>
          <t>EUR</t>
        </is>
      </c>
      <c r="C98" t="inlineStr">
        <is>
          <t>EUR_C</t>
        </is>
      </c>
      <c r="D98" t="inlineStr">
        <is>
          <t>EUR_D</t>
        </is>
      </c>
      <c r="E98" t="inlineStr">
        <is>
          <t>EUR_E</t>
        </is>
      </c>
      <c r="F98" t="inlineStr">
        <is>
          <t>EUR_F</t>
        </is>
      </c>
      <c r="G98" t="inlineStr">
        <is>
          <t>EUR_G</t>
        </is>
      </c>
      <c r="H98" t="inlineStr">
        <is>
          <t>EUR_H</t>
        </is>
      </c>
      <c r="I98">
        <f>VLOOKUP(B98,Data!A:B,2,FALSE)</f>
        <v/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B99" s="2" t="inlineStr">
        <is>
          <t>USD</t>
        </is>
      </c>
      <c r="C99" t="inlineStr">
        <is>
          <t>USD_C</t>
        </is>
      </c>
      <c r="D99" t="inlineStr">
        <is>
          <t>USD_D</t>
        </is>
      </c>
      <c r="E99" t="inlineStr">
        <is>
          <t>USD_E</t>
        </is>
      </c>
      <c r="F99" t="inlineStr">
        <is>
          <t>USD_F</t>
        </is>
      </c>
      <c r="G99" t="inlineStr">
        <is>
          <t>USD_G</t>
        </is>
      </c>
      <c r="H99" t="inlineStr">
        <is>
          <t>USD_H</t>
        </is>
      </c>
      <c r="I99">
        <f>VLOOKUP(B99,Data!A:B,2,FALSE)</f>
        <v/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B100" s="2" t="inlineStr">
        <is>
          <t>GBP</t>
        </is>
      </c>
      <c r="C100" t="inlineStr">
        <is>
          <t>GBP_C</t>
        </is>
      </c>
      <c r="D100" t="inlineStr">
        <is>
          <t>GBP_D</t>
        </is>
      </c>
      <c r="E100" t="inlineStr">
        <is>
          <t>GBP_E</t>
        </is>
      </c>
      <c r="F100" t="inlineStr">
        <is>
          <t>GBP_F</t>
        </is>
      </c>
      <c r="G100" t="inlineStr">
        <is>
          <t>GBP_G</t>
        </is>
      </c>
      <c r="H100" t="inlineStr">
        <is>
          <t>GBP_H</t>
        </is>
      </c>
      <c r="I100">
        <f>VLOOKUP(B100,Data!A:B,2,FALSE)</f>
        <v/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</row>
    <row r="101">
      <c r="B101" s="2" t="inlineStr">
        <is>
          <t>AUD</t>
        </is>
      </c>
      <c r="C101" t="inlineStr">
        <is>
          <t>AUD_C</t>
        </is>
      </c>
      <c r="D101" t="inlineStr">
        <is>
          <t>AUD_D</t>
        </is>
      </c>
      <c r="E101" t="inlineStr">
        <is>
          <t>AUD_E</t>
        </is>
      </c>
      <c r="F101" t="inlineStr">
        <is>
          <t>AUD_F</t>
        </is>
      </c>
      <c r="G101" t="inlineStr">
        <is>
          <t>AUD_G</t>
        </is>
      </c>
      <c r="H101" t="inlineStr">
        <is>
          <t>AUD_H</t>
        </is>
      </c>
      <c r="I101">
        <f>VLOOKUP(B101,Data!A:B,2,FALSE)</f>
        <v/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B102" s="2" t="inlineStr">
        <is>
          <t>OTH</t>
        </is>
      </c>
      <c r="C102" t="inlineStr">
        <is>
          <t>OTH_C</t>
        </is>
      </c>
      <c r="D102" t="inlineStr">
        <is>
          <t>OTH_D</t>
        </is>
      </c>
      <c r="E102" t="inlineStr">
        <is>
          <t>OTH_E</t>
        </is>
      </c>
      <c r="F102" t="inlineStr">
        <is>
          <t>OTH_F</t>
        </is>
      </c>
      <c r="G102" t="inlineStr">
        <is>
          <t>OTH_G</t>
        </is>
      </c>
      <c r="H102" t="inlineStr">
        <is>
          <t>OTH_H</t>
        </is>
      </c>
      <c r="I102">
        <f>VLOOKUP(B102,Data!A:B,2,FALSE)</f>
        <v/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/>
    <row r="104"/>
    <row r="105"/>
    <row r="106">
      <c r="A106" s="2" t="inlineStr">
        <is>
          <t>Total Visa Credit Cards</t>
        </is>
      </c>
      <c r="B106" s="2" t="inlineStr">
        <is>
          <t>TOTAL</t>
        </is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>
        <f>SUM(N87:N105)</f>
        <v/>
      </c>
      <c r="O106" s="2">
        <f>SUM(O87:O105)</f>
        <v/>
      </c>
      <c r="P106" s="2">
        <f>SUM(P87:P105)</f>
        <v/>
      </c>
      <c r="Q106" s="2">
        <f>SUM(Q87:Q105)</f>
        <v/>
      </c>
      <c r="R106" s="2">
        <f>SUM(R87:R105)</f>
        <v/>
      </c>
      <c r="S106" s="2">
        <f>SUM(S87:S105)</f>
        <v/>
      </c>
      <c r="T106" s="2">
        <f>SUM(T87:T105)</f>
        <v/>
      </c>
      <c r="U106" s="2">
        <f>SUM(U87:U105)</f>
        <v/>
      </c>
      <c r="V106" s="2">
        <f>SUM(V87:V105)</f>
        <v/>
      </c>
      <c r="W106" s="2">
        <f>SUM(W87:W105)</f>
        <v/>
      </c>
      <c r="X106" s="2">
        <f>SUM(X87:X105)</f>
        <v/>
      </c>
      <c r="Y106" s="2">
        <f>SUM(Y87:Y105)</f>
        <v/>
      </c>
      <c r="Z106" s="2">
        <f>SUM(Z87:Z105)</f>
        <v/>
      </c>
      <c r="AA106" s="2">
        <f>SUM(AA87:AA105)</f>
        <v/>
      </c>
      <c r="AB106" s="2">
        <f>SUM(AB87:AB105)</f>
        <v/>
      </c>
      <c r="AC106" s="2">
        <f>SUM(AC87:AC105)</f>
        <v/>
      </c>
      <c r="AD106" s="2">
        <f>SUM(AD87:AD105)</f>
        <v/>
      </c>
      <c r="AE106" s="2">
        <f>SUM(AE87:AE105)</f>
        <v/>
      </c>
      <c r="AF106" s="2">
        <f>SUM(AF87:AF105)</f>
        <v/>
      </c>
      <c r="AG106" s="2">
        <f>SUM(AG87:AG105)</f>
        <v/>
      </c>
      <c r="AH106" s="2">
        <f>SUM(AH87:AH105)</f>
        <v/>
      </c>
      <c r="AJ106" s="2">
        <f>SUM(N106,O106,P106)</f>
        <v/>
      </c>
      <c r="AK106" s="2">
        <f>SUM(Q106,R106,S106)</f>
        <v/>
      </c>
      <c r="AL106" s="2">
        <f>SUM(T106,U106,V106)</f>
        <v/>
      </c>
      <c r="AM106" s="2">
        <f>SUM(W106,X106,Y106)</f>
        <v/>
      </c>
      <c r="AN106" s="2">
        <f>SUM(Z106,AA106,AB106)</f>
        <v/>
      </c>
      <c r="AO106" s="2">
        <f>SUM(AC106,AD106,AE106)</f>
        <v/>
      </c>
      <c r="AP106" s="2">
        <f>SUM(AF106,AG106,AH106)</f>
        <v/>
      </c>
      <c r="AQ106" s="2">
        <f>SUM(AI106,AJ106,AK106)</f>
        <v/>
      </c>
      <c r="AR106" s="2">
        <f>SUM(AL106,AM106,AN106)</f>
        <v/>
      </c>
    </row>
    <row r="107">
      <c r="A107" s="2" t="inlineStr">
        <is>
          <t>Visa Debit Cards</t>
        </is>
      </c>
      <c r="B107" s="2" t="inlineStr">
        <is>
          <t>HKD</t>
        </is>
      </c>
      <c r="C107" t="inlineStr">
        <is>
          <t>HKD_C</t>
        </is>
      </c>
      <c r="D107" t="inlineStr">
        <is>
          <t>HKD_D</t>
        </is>
      </c>
      <c r="E107" t="inlineStr">
        <is>
          <t>HKD_E</t>
        </is>
      </c>
      <c r="F107" t="inlineStr">
        <is>
          <t>HKD_F</t>
        </is>
      </c>
      <c r="G107" t="inlineStr">
        <is>
          <t>HKD_G</t>
        </is>
      </c>
      <c r="H107" t="inlineStr">
        <is>
          <t>HKD_H</t>
        </is>
      </c>
      <c r="I107">
        <f>VLOOKUP(B107,Data!A:B,2,FALSE)</f>
        <v/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B108" s="2" t="inlineStr">
        <is>
          <t>JPY</t>
        </is>
      </c>
      <c r="C108" t="inlineStr">
        <is>
          <t>JPY_C</t>
        </is>
      </c>
      <c r="D108" t="inlineStr">
        <is>
          <t>JPY_D</t>
        </is>
      </c>
      <c r="E108" t="inlineStr">
        <is>
          <t>JPY_E</t>
        </is>
      </c>
      <c r="F108" t="inlineStr">
        <is>
          <t>JPY_F</t>
        </is>
      </c>
      <c r="G108" t="inlineStr">
        <is>
          <t>JPY_G</t>
        </is>
      </c>
      <c r="H108" t="inlineStr">
        <is>
          <t>JPY_H</t>
        </is>
      </c>
      <c r="I108">
        <f>VLOOKUP(B108,Data!A:B,2,FALSE)</f>
        <v/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B109" s="2" t="inlineStr">
        <is>
          <t>TWD</t>
        </is>
      </c>
      <c r="C109" t="inlineStr">
        <is>
          <t>TWD_C</t>
        </is>
      </c>
      <c r="D109" t="inlineStr">
        <is>
          <t>TWD_D</t>
        </is>
      </c>
      <c r="E109" t="inlineStr">
        <is>
          <t>TWD_E</t>
        </is>
      </c>
      <c r="F109" t="inlineStr">
        <is>
          <t>TWD_F</t>
        </is>
      </c>
      <c r="G109" t="inlineStr">
        <is>
          <t>TWD_G</t>
        </is>
      </c>
      <c r="H109" t="inlineStr">
        <is>
          <t>TWD_H</t>
        </is>
      </c>
      <c r="I109">
        <f>VLOOKUP(B109,Data!A:B,2,FALSE)</f>
        <v/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</row>
    <row r="110">
      <c r="B110" s="2" t="inlineStr">
        <is>
          <t>KRW</t>
        </is>
      </c>
      <c r="C110" t="inlineStr">
        <is>
          <t>KRW_C</t>
        </is>
      </c>
      <c r="D110" t="inlineStr">
        <is>
          <t>KRW_D</t>
        </is>
      </c>
      <c r="E110" t="inlineStr">
        <is>
          <t>KRW_E</t>
        </is>
      </c>
      <c r="F110" t="inlineStr">
        <is>
          <t>KRW_F</t>
        </is>
      </c>
      <c r="G110" t="inlineStr">
        <is>
          <t>KRW_G</t>
        </is>
      </c>
      <c r="H110" t="inlineStr">
        <is>
          <t>KRW_H</t>
        </is>
      </c>
      <c r="I110">
        <f>VLOOKUP(B110,Data!A:B,2,FALSE)</f>
        <v/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B111" s="2" t="inlineStr">
        <is>
          <t>RMB</t>
        </is>
      </c>
      <c r="C111" t="inlineStr">
        <is>
          <t>RMB_C</t>
        </is>
      </c>
      <c r="D111" t="inlineStr">
        <is>
          <t>RMB_D</t>
        </is>
      </c>
      <c r="E111" t="inlineStr">
        <is>
          <t>RMB_E</t>
        </is>
      </c>
      <c r="F111" t="inlineStr">
        <is>
          <t>RMB_F</t>
        </is>
      </c>
      <c r="G111" t="inlineStr">
        <is>
          <t>RMB_G</t>
        </is>
      </c>
      <c r="H111" t="inlineStr">
        <is>
          <t>RMB_H</t>
        </is>
      </c>
      <c r="I111">
        <f>VLOOKUP(B111,Data!A:B,2,FALSE)</f>
        <v/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B112" s="2" t="inlineStr">
        <is>
          <t>PHP</t>
        </is>
      </c>
      <c r="C112" t="inlineStr">
        <is>
          <t>PHP_C</t>
        </is>
      </c>
      <c r="D112" t="inlineStr">
        <is>
          <t>PHP_D</t>
        </is>
      </c>
      <c r="E112" t="inlineStr">
        <is>
          <t>PHP_E</t>
        </is>
      </c>
      <c r="F112" t="inlineStr">
        <is>
          <t>PHP_F</t>
        </is>
      </c>
      <c r="G112" t="inlineStr">
        <is>
          <t>PHP_G</t>
        </is>
      </c>
      <c r="H112" t="inlineStr">
        <is>
          <t>PHP_H</t>
        </is>
      </c>
      <c r="I112">
        <f>VLOOKUP(B112,Data!A:B,2,FALSE)</f>
        <v/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B113" s="2" t="inlineStr">
        <is>
          <t>IDR</t>
        </is>
      </c>
      <c r="C113" t="inlineStr">
        <is>
          <t>IDR_C</t>
        </is>
      </c>
      <c r="D113" t="inlineStr">
        <is>
          <t>IDR_D</t>
        </is>
      </c>
      <c r="E113" t="inlineStr">
        <is>
          <t>IDR_E</t>
        </is>
      </c>
      <c r="F113" t="inlineStr">
        <is>
          <t>IDR_F</t>
        </is>
      </c>
      <c r="G113" t="inlineStr">
        <is>
          <t>IDR_G</t>
        </is>
      </c>
      <c r="H113" t="inlineStr">
        <is>
          <t>IDR_H</t>
        </is>
      </c>
      <c r="I113">
        <f>VLOOKUP(B113,Data!A:B,2,FALSE)</f>
        <v/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B114" s="2" t="inlineStr">
        <is>
          <t>THB</t>
        </is>
      </c>
      <c r="C114" t="inlineStr">
        <is>
          <t>THB_C</t>
        </is>
      </c>
      <c r="D114" t="inlineStr">
        <is>
          <t>THB_D</t>
        </is>
      </c>
      <c r="E114" t="inlineStr">
        <is>
          <t>THB_E</t>
        </is>
      </c>
      <c r="F114" t="inlineStr">
        <is>
          <t>THB_F</t>
        </is>
      </c>
      <c r="G114" t="inlineStr">
        <is>
          <t>THB_G</t>
        </is>
      </c>
      <c r="H114" t="inlineStr">
        <is>
          <t>THB_H</t>
        </is>
      </c>
      <c r="I114">
        <f>VLOOKUP(B114,Data!A:B,2,FALSE)</f>
        <v/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3" t="n"/>
      <c r="B115" s="4" t="inlineStr">
        <is>
          <t>VND</t>
        </is>
      </c>
      <c r="C115" s="3" t="inlineStr">
        <is>
          <t>VND_C</t>
        </is>
      </c>
      <c r="D115" s="3" t="inlineStr">
        <is>
          <t>VND_D</t>
        </is>
      </c>
      <c r="E115" s="3" t="inlineStr">
        <is>
          <t>VND_E</t>
        </is>
      </c>
      <c r="F115" s="3" t="inlineStr">
        <is>
          <t>VND_F</t>
        </is>
      </c>
      <c r="G115" s="3" t="inlineStr">
        <is>
          <t>VND_G</t>
        </is>
      </c>
      <c r="H115" s="3" t="inlineStr">
        <is>
          <t>VND_H</t>
        </is>
      </c>
      <c r="I115" s="3">
        <f>VLOOKUP(B115,Data!A:B,2,FALSE)</f>
        <v/>
      </c>
      <c r="J115" s="3" t="n"/>
      <c r="K115" s="3" t="n"/>
      <c r="L115" s="3" t="n"/>
      <c r="M115" s="3" t="n"/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</row>
    <row r="116">
      <c r="A116" s="5" t="n"/>
      <c r="B116" s="6" t="inlineStr">
        <is>
          <t>MYR</t>
        </is>
      </c>
      <c r="C116" s="5" t="inlineStr">
        <is>
          <t>MYR_C</t>
        </is>
      </c>
      <c r="D116" s="5" t="inlineStr">
        <is>
          <t>MYR_D</t>
        </is>
      </c>
      <c r="E116" s="5" t="inlineStr">
        <is>
          <t>MYR_E</t>
        </is>
      </c>
      <c r="F116" s="5" t="inlineStr">
        <is>
          <t>MYR_F</t>
        </is>
      </c>
      <c r="G116" s="5" t="inlineStr">
        <is>
          <t>MYR_G</t>
        </is>
      </c>
      <c r="H116" s="5" t="inlineStr">
        <is>
          <t>MYR_H</t>
        </is>
      </c>
      <c r="I116" s="5">
        <f>VLOOKUP(B116,Data!A:B,2,FALSE)</f>
        <v/>
      </c>
      <c r="J116" s="5" t="n"/>
      <c r="K116" s="5" t="n"/>
      <c r="L116" s="5" t="n"/>
      <c r="M116" s="5" t="n"/>
      <c r="N116" s="5" t="n">
        <v>0</v>
      </c>
      <c r="O116" s="5" t="n">
        <v>0</v>
      </c>
      <c r="P116" s="5" t="n">
        <v>0</v>
      </c>
      <c r="Q116" s="5" t="n">
        <v>0</v>
      </c>
      <c r="R116" s="5" t="n">
        <v>0</v>
      </c>
      <c r="S116" s="5" t="n">
        <v>0</v>
      </c>
      <c r="T116" s="5" t="n">
        <v>0</v>
      </c>
      <c r="U116" s="5" t="n">
        <v>0</v>
      </c>
      <c r="V116" s="5" t="n">
        <v>0</v>
      </c>
      <c r="W116" s="5" t="n">
        <v>0</v>
      </c>
      <c r="X116" s="5" t="n">
        <v>0</v>
      </c>
      <c r="Y116" s="5" t="n">
        <v>0</v>
      </c>
      <c r="Z116" s="5" t="n">
        <v>0</v>
      </c>
      <c r="AA116" s="5" t="n">
        <v>0</v>
      </c>
      <c r="AB116" s="5" t="n">
        <v>0</v>
      </c>
      <c r="AC116" s="5" t="n">
        <v>0</v>
      </c>
      <c r="AD116" s="5" t="n">
        <v>0</v>
      </c>
      <c r="AE116" s="5" t="n">
        <v>0</v>
      </c>
      <c r="AF116" s="5" t="n">
        <v>0</v>
      </c>
      <c r="AG116" s="5" t="n">
        <v>0</v>
      </c>
      <c r="AH116" s="5" t="n">
        <v>0</v>
      </c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</row>
    <row r="117">
      <c r="B117" s="2" t="inlineStr">
        <is>
          <t>INR</t>
        </is>
      </c>
      <c r="C117" t="inlineStr">
        <is>
          <t>INR_C</t>
        </is>
      </c>
      <c r="D117" t="inlineStr">
        <is>
          <t>INR_D</t>
        </is>
      </c>
      <c r="E117" t="inlineStr">
        <is>
          <t>INR_E</t>
        </is>
      </c>
      <c r="F117" t="inlineStr">
        <is>
          <t>INR_F</t>
        </is>
      </c>
      <c r="G117" t="inlineStr">
        <is>
          <t>INR_G</t>
        </is>
      </c>
      <c r="H117" t="inlineStr">
        <is>
          <t>INR_H</t>
        </is>
      </c>
      <c r="I117">
        <f>VLOOKUP(B117,Data!A:B,2,FALSE)</f>
        <v/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B118" s="2" t="inlineStr">
        <is>
          <t>EUR</t>
        </is>
      </c>
      <c r="C118" t="inlineStr">
        <is>
          <t>EUR_C</t>
        </is>
      </c>
      <c r="D118" t="inlineStr">
        <is>
          <t>EUR_D</t>
        </is>
      </c>
      <c r="E118" t="inlineStr">
        <is>
          <t>EUR_E</t>
        </is>
      </c>
      <c r="F118" t="inlineStr">
        <is>
          <t>EUR_F</t>
        </is>
      </c>
      <c r="G118" t="inlineStr">
        <is>
          <t>EUR_G</t>
        </is>
      </c>
      <c r="H118" t="inlineStr">
        <is>
          <t>EUR_H</t>
        </is>
      </c>
      <c r="I118">
        <f>VLOOKUP(B118,Data!A:B,2,FALSE)</f>
        <v/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B119" s="2" t="inlineStr">
        <is>
          <t>USD</t>
        </is>
      </c>
      <c r="C119" t="inlineStr">
        <is>
          <t>USD_C</t>
        </is>
      </c>
      <c r="D119" t="inlineStr">
        <is>
          <t>USD_D</t>
        </is>
      </c>
      <c r="E119" t="inlineStr">
        <is>
          <t>USD_E</t>
        </is>
      </c>
      <c r="F119" t="inlineStr">
        <is>
          <t>USD_F</t>
        </is>
      </c>
      <c r="G119" t="inlineStr">
        <is>
          <t>USD_G</t>
        </is>
      </c>
      <c r="H119" t="inlineStr">
        <is>
          <t>USD_H</t>
        </is>
      </c>
      <c r="I119">
        <f>VLOOKUP(B119,Data!A:B,2,FALSE)</f>
        <v/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</row>
    <row r="120">
      <c r="B120" s="2" t="inlineStr">
        <is>
          <t>GBP</t>
        </is>
      </c>
      <c r="C120" t="inlineStr">
        <is>
          <t>GBP_C</t>
        </is>
      </c>
      <c r="D120" t="inlineStr">
        <is>
          <t>GBP_D</t>
        </is>
      </c>
      <c r="E120" t="inlineStr">
        <is>
          <t>GBP_E</t>
        </is>
      </c>
      <c r="F120" t="inlineStr">
        <is>
          <t>GBP_F</t>
        </is>
      </c>
      <c r="G120" t="inlineStr">
        <is>
          <t>GBP_G</t>
        </is>
      </c>
      <c r="H120" t="inlineStr">
        <is>
          <t>GBP_H</t>
        </is>
      </c>
      <c r="I120">
        <f>VLOOKUP(B120,Data!A:B,2,FALSE)</f>
        <v/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B121" s="2" t="inlineStr">
        <is>
          <t>AUD</t>
        </is>
      </c>
      <c r="C121" t="inlineStr">
        <is>
          <t>AUD_C</t>
        </is>
      </c>
      <c r="D121" t="inlineStr">
        <is>
          <t>AUD_D</t>
        </is>
      </c>
      <c r="E121" t="inlineStr">
        <is>
          <t>AUD_E</t>
        </is>
      </c>
      <c r="F121" t="inlineStr">
        <is>
          <t>AUD_F</t>
        </is>
      </c>
      <c r="G121" t="inlineStr">
        <is>
          <t>AUD_G</t>
        </is>
      </c>
      <c r="H121" t="inlineStr">
        <is>
          <t>AUD_H</t>
        </is>
      </c>
      <c r="I121">
        <f>VLOOKUP(B121,Data!A:B,2,FALSE)</f>
        <v/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B122" s="2" t="inlineStr">
        <is>
          <t>OTH</t>
        </is>
      </c>
      <c r="C122" t="inlineStr">
        <is>
          <t>OTH_C</t>
        </is>
      </c>
      <c r="D122" t="inlineStr">
        <is>
          <t>OTH_D</t>
        </is>
      </c>
      <c r="E122" t="inlineStr">
        <is>
          <t>OTH_E</t>
        </is>
      </c>
      <c r="F122" t="inlineStr">
        <is>
          <t>OTH_F</t>
        </is>
      </c>
      <c r="G122" t="inlineStr">
        <is>
          <t>OTH_G</t>
        </is>
      </c>
      <c r="H122" t="inlineStr">
        <is>
          <t>OTH_H</t>
        </is>
      </c>
      <c r="I122">
        <f>VLOOKUP(B122,Data!A:B,2,FALSE)</f>
        <v/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</row>
    <row r="123"/>
    <row r="124"/>
    <row r="125"/>
    <row r="126">
      <c r="A126" s="2" t="inlineStr">
        <is>
          <t>Total Visa Debit Cards</t>
        </is>
      </c>
      <c r="B126" s="2" t="inlineStr">
        <is>
          <t>TOTAL</t>
        </is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>
        <f>SUM(N107:N125)</f>
        <v/>
      </c>
      <c r="O126" s="2">
        <f>SUM(O107:O125)</f>
        <v/>
      </c>
      <c r="P126" s="2">
        <f>SUM(P107:P125)</f>
        <v/>
      </c>
      <c r="Q126" s="2">
        <f>SUM(Q107:Q125)</f>
        <v/>
      </c>
      <c r="R126" s="2">
        <f>SUM(R107:R125)</f>
        <v/>
      </c>
      <c r="S126" s="2">
        <f>SUM(S107:S125)</f>
        <v/>
      </c>
      <c r="T126" s="2">
        <f>SUM(T107:T125)</f>
        <v/>
      </c>
      <c r="U126" s="2">
        <f>SUM(U107:U125)</f>
        <v/>
      </c>
      <c r="V126" s="2">
        <f>SUM(V107:V125)</f>
        <v/>
      </c>
      <c r="W126" s="2">
        <f>SUM(W107:W125)</f>
        <v/>
      </c>
      <c r="X126" s="2">
        <f>SUM(X107:X125)</f>
        <v/>
      </c>
      <c r="Y126" s="2">
        <f>SUM(Y107:Y125)</f>
        <v/>
      </c>
      <c r="Z126" s="2">
        <f>SUM(Z107:Z125)</f>
        <v/>
      </c>
      <c r="AA126" s="2">
        <f>SUM(AA107:AA125)</f>
        <v/>
      </c>
      <c r="AB126" s="2">
        <f>SUM(AB107:AB125)</f>
        <v/>
      </c>
      <c r="AC126" s="2">
        <f>SUM(AC107:AC125)</f>
        <v/>
      </c>
      <c r="AD126" s="2">
        <f>SUM(AD107:AD125)</f>
        <v/>
      </c>
      <c r="AE126" s="2">
        <f>SUM(AE107:AE125)</f>
        <v/>
      </c>
      <c r="AF126" s="2">
        <f>SUM(AF107:AF125)</f>
        <v/>
      </c>
      <c r="AG126" s="2">
        <f>SUM(AG107:AG125)</f>
        <v/>
      </c>
      <c r="AH126" s="2">
        <f>SUM(AH107:AH125)</f>
        <v/>
      </c>
      <c r="AJ126" s="2">
        <f>SUM(N126,O126,P126)</f>
        <v/>
      </c>
      <c r="AK126" s="2">
        <f>SUM(Q126,R126,S126)</f>
        <v/>
      </c>
      <c r="AL126" s="2">
        <f>SUM(T126,U126,V126)</f>
        <v/>
      </c>
      <c r="AM126" s="2">
        <f>SUM(W126,X126,Y126)</f>
        <v/>
      </c>
      <c r="AN126" s="2">
        <f>SUM(Z126,AA126,AB126)</f>
        <v/>
      </c>
      <c r="AO126" s="2">
        <f>SUM(AC126,AD126,AE126)</f>
        <v/>
      </c>
      <c r="AP126" s="2">
        <f>SUM(AF126,AG126,AH126)</f>
        <v/>
      </c>
      <c r="AQ126" s="2">
        <f>SUM(AI126,AJ126,AK126)</f>
        <v/>
      </c>
      <c r="AR126" s="2">
        <f>SUM(AL126,AM126,AN126)</f>
        <v/>
      </c>
    </row>
    <row r="127">
      <c r="A127" s="7" t="inlineStr">
        <is>
          <t>GRAND TOTAL</t>
        </is>
      </c>
      <c r="B127" s="7" t="inlineStr">
        <is>
          <t>ALL</t>
        </is>
      </c>
      <c r="N127" s="7">
        <f>SUM(N66,N86,N106,N126)</f>
        <v/>
      </c>
      <c r="O127" s="7">
        <f>SUM(O66,O86,O106,O126)</f>
        <v/>
      </c>
      <c r="P127" s="7">
        <f>SUM(P66,P86,P106,P126)</f>
        <v/>
      </c>
      <c r="Q127" s="7">
        <f>SUM(Q66,Q86,Q106,Q126)</f>
        <v/>
      </c>
      <c r="R127" s="7">
        <f>SUM(R66,R86,R106,R126)</f>
        <v/>
      </c>
      <c r="S127" s="7">
        <f>SUM(S66,S86,S106,S126)</f>
        <v/>
      </c>
      <c r="T127" s="7">
        <f>SUM(T66,T86,T106,T126)</f>
        <v/>
      </c>
      <c r="U127" s="7">
        <f>SUM(U66,U86,U106,U126)</f>
        <v/>
      </c>
      <c r="V127" s="7">
        <f>SUM(V66,V86,V106,V126)</f>
        <v/>
      </c>
      <c r="W127" s="7">
        <f>SUM(W66,W86,W106,W126)</f>
        <v/>
      </c>
      <c r="X127" s="7">
        <f>SUM(X66,X86,X106,X126)</f>
        <v/>
      </c>
      <c r="Y127" s="7">
        <f>SUM(Y66,Y86,Y106,Y126)</f>
        <v/>
      </c>
      <c r="Z127" s="7">
        <f>SUM(Z66,Z86,Z106,Z126)</f>
        <v/>
      </c>
      <c r="AA127" s="7">
        <f>SUM(AA66,AA86,AA106,AA126)</f>
        <v/>
      </c>
      <c r="AB127" s="7">
        <f>SUM(AB66,AB86,AB106,AB126)</f>
        <v/>
      </c>
      <c r="AC127" s="7">
        <f>SUM(AC66,AC86,AC106,AC126)</f>
        <v/>
      </c>
      <c r="AD127" s="7">
        <f>SUM(AD66,AD86,AD106,AD126)</f>
        <v/>
      </c>
      <c r="AE127" s="7">
        <f>SUM(AE66,AE86,AE106,AE126)</f>
        <v/>
      </c>
      <c r="AF127" s="7">
        <f>SUM(AF66,AF86,AF106,AF126)</f>
        <v/>
      </c>
      <c r="AG127" s="7">
        <f>SUM(AG66,AG86,AG106,AG126)</f>
        <v/>
      </c>
      <c r="AH127" s="7">
        <f>SUM(AH66,AH86,AH106,AH126)</f>
        <v/>
      </c>
      <c r="AJ127" s="7">
        <f>SUM(N127,O127,P127)</f>
        <v/>
      </c>
      <c r="AK127" s="7">
        <f>SUM(Q127,R127,S127)</f>
        <v/>
      </c>
      <c r="AL127" s="7">
        <f>SUM(T127,U127,V127)</f>
        <v/>
      </c>
      <c r="AM127" s="7">
        <f>SUM(W127,X127,Y127)</f>
        <v/>
      </c>
      <c r="AN127" s="7">
        <f>SUM(Z127,AA127,AB127)</f>
        <v/>
      </c>
      <c r="AO127" s="7">
        <f>SUM(AC127,AD127,AE127)</f>
        <v/>
      </c>
      <c r="AP127" s="7">
        <f>SUM(AF127,AG127,AH127)</f>
        <v/>
      </c>
      <c r="AQ127" s="7">
        <f>SUM(AI127,AJ127,AK127)</f>
        <v/>
      </c>
      <c r="AR127" s="7">
        <f>SUM(AL127,AM127,AN127)</f>
        <v/>
      </c>
    </row>
  </sheetData>
  <mergeCells count="4">
    <mergeCell ref="A107:A125"/>
    <mergeCell ref="A47:A65"/>
    <mergeCell ref="A87:A105"/>
    <mergeCell ref="A67:A8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8" t="inlineStr">
        <is>
          <t>Currency Market Share Dashboard</t>
        </is>
      </c>
    </row>
    <row r="3">
      <c r="A3" s="2" t="inlineStr">
        <is>
          <t>Online Share by Currency</t>
        </is>
      </c>
      <c r="E3" s="2" t="inlineStr">
        <is>
          <t>POS Share by Currency</t>
        </is>
      </c>
    </row>
    <row r="4">
      <c r="A4" s="2" t="inlineStr">
        <is>
          <t>Currency</t>
        </is>
      </c>
      <c r="B4" s="2" t="inlineStr">
        <is>
          <t>Share %</t>
        </is>
      </c>
      <c r="E4" s="2" t="inlineStr">
        <is>
          <t>Currency</t>
        </is>
      </c>
      <c r="F4" s="2" t="inlineStr">
        <is>
          <t>Share %</t>
        </is>
      </c>
    </row>
    <row r="5">
      <c r="A5" t="inlineStr">
        <is>
          <t>AUD</t>
        </is>
      </c>
      <c r="B5" t="n">
        <v>0</v>
      </c>
      <c r="E5" t="inlineStr">
        <is>
          <t>AUD</t>
        </is>
      </c>
      <c r="F5" t="n">
        <v>0</v>
      </c>
    </row>
    <row r="6">
      <c r="A6" t="inlineStr">
        <is>
          <t>CAD</t>
        </is>
      </c>
      <c r="B6" t="n">
        <v>0</v>
      </c>
      <c r="E6" t="inlineStr">
        <is>
          <t>CAD</t>
        </is>
      </c>
      <c r="F6" t="n">
        <v>0</v>
      </c>
    </row>
    <row r="7">
      <c r="A7" t="inlineStr">
        <is>
          <t>EUR</t>
        </is>
      </c>
      <c r="B7" t="n">
        <v>0</v>
      </c>
      <c r="E7" t="inlineStr">
        <is>
          <t>EUR</t>
        </is>
      </c>
      <c r="F7" t="n">
        <v>0</v>
      </c>
    </row>
    <row r="8">
      <c r="A8" t="inlineStr">
        <is>
          <t>GBP</t>
        </is>
      </c>
      <c r="B8" t="n">
        <v>0</v>
      </c>
      <c r="E8" t="inlineStr">
        <is>
          <t>GBP</t>
        </is>
      </c>
      <c r="F8" t="n">
        <v>0</v>
      </c>
    </row>
    <row r="9">
      <c r="A9" t="inlineStr">
        <is>
          <t>HKD</t>
        </is>
      </c>
      <c r="B9" t="n">
        <v>0</v>
      </c>
      <c r="E9" t="inlineStr">
        <is>
          <t>HKD</t>
        </is>
      </c>
      <c r="F9" t="n">
        <v>0</v>
      </c>
    </row>
    <row r="10">
      <c r="A10" t="inlineStr">
        <is>
          <t>IDR</t>
        </is>
      </c>
      <c r="B10" t="n">
        <v>0</v>
      </c>
      <c r="E10" t="inlineStr">
        <is>
          <t>IDR</t>
        </is>
      </c>
      <c r="F10" t="n">
        <v>0</v>
      </c>
    </row>
    <row r="11">
      <c r="A11" t="inlineStr">
        <is>
          <t>INR</t>
        </is>
      </c>
      <c r="B11" t="n">
        <v>0</v>
      </c>
      <c r="E11" t="inlineStr">
        <is>
          <t>INR</t>
        </is>
      </c>
      <c r="F11" t="n">
        <v>0</v>
      </c>
    </row>
    <row r="12">
      <c r="A12" t="inlineStr">
        <is>
          <t>JPY</t>
        </is>
      </c>
      <c r="B12" t="n">
        <v>0</v>
      </c>
      <c r="E12" t="inlineStr">
        <is>
          <t>JPY</t>
        </is>
      </c>
      <c r="F12" t="n">
        <v>0</v>
      </c>
    </row>
    <row r="13">
      <c r="A13" t="inlineStr">
        <is>
          <t>MYR</t>
        </is>
      </c>
      <c r="B13" t="n">
        <v>0</v>
      </c>
      <c r="E13" t="inlineStr">
        <is>
          <t>MYR</t>
        </is>
      </c>
      <c r="F13" t="n">
        <v>0</v>
      </c>
    </row>
    <row r="14">
      <c r="A14" t="inlineStr">
        <is>
          <t>NZD</t>
        </is>
      </c>
      <c r="B14" t="n">
        <v>0</v>
      </c>
      <c r="E14" t="inlineStr">
        <is>
          <t>NZD</t>
        </is>
      </c>
      <c r="F14" t="n">
        <v>0</v>
      </c>
    </row>
    <row r="15">
      <c r="A15" t="inlineStr">
        <is>
          <t>THB</t>
        </is>
      </c>
      <c r="B15" t="n">
        <v>0</v>
      </c>
      <c r="E15" t="inlineStr">
        <is>
          <t>THB</t>
        </is>
      </c>
      <c r="F15" t="n">
        <v>0</v>
      </c>
    </row>
    <row r="16">
      <c r="A16" t="inlineStr">
        <is>
          <t>USD</t>
        </is>
      </c>
      <c r="B16" t="n">
        <v>0</v>
      </c>
      <c r="E16" t="inlineStr">
        <is>
          <t>USD</t>
        </is>
      </c>
      <c r="F16" t="n">
        <v>0</v>
      </c>
    </row>
    <row r="17">
      <c r="A17" t="inlineStr">
        <is>
          <t>OTH</t>
        </is>
      </c>
      <c r="B17" t="n">
        <v>0</v>
      </c>
      <c r="E17" t="inlineStr">
        <is>
          <t>OTH</t>
        </is>
      </c>
      <c r="F17" t="n">
        <v>0</v>
      </c>
    </row>
    <row r="39">
      <c r="A39" s="2" t="inlineStr">
        <is>
          <t>Currency Cross-Tabulation Matrix</t>
        </is>
      </c>
    </row>
    <row r="40">
      <c r="B40" s="1" t="inlineStr">
        <is>
          <t>AUD</t>
        </is>
      </c>
      <c r="C40" s="1" t="inlineStr">
        <is>
          <t>CAD</t>
        </is>
      </c>
      <c r="D40" s="1" t="inlineStr">
        <is>
          <t>EUR</t>
        </is>
      </c>
      <c r="E40" s="1" t="inlineStr">
        <is>
          <t>GBP</t>
        </is>
      </c>
      <c r="F40" s="1" t="inlineStr">
        <is>
          <t>HKD</t>
        </is>
      </c>
      <c r="G40" s="1" t="inlineStr">
        <is>
          <t>IDR</t>
        </is>
      </c>
      <c r="H40" s="1" t="inlineStr">
        <is>
          <t>INR</t>
        </is>
      </c>
      <c r="I40" s="1" t="inlineStr">
        <is>
          <t>JPY</t>
        </is>
      </c>
      <c r="J40" s="1" t="inlineStr">
        <is>
          <t>MYR</t>
        </is>
      </c>
      <c r="K40" s="1" t="inlineStr">
        <is>
          <t>NZD</t>
        </is>
      </c>
      <c r="L40" s="1" t="inlineStr">
        <is>
          <t>THB</t>
        </is>
      </c>
      <c r="M40" s="1" t="inlineStr">
        <is>
          <t>USD</t>
        </is>
      </c>
      <c r="N40" s="1" t="inlineStr">
        <is>
          <t>OTH</t>
        </is>
      </c>
    </row>
    <row r="41">
      <c r="A41" s="2" t="inlineStr">
        <is>
          <t>AUD</t>
        </is>
      </c>
      <c r="B41" s="3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2" t="inlineStr">
        <is>
          <t>CAD</t>
        </is>
      </c>
      <c r="B42" t="n">
        <v>0</v>
      </c>
      <c r="C42" s="3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2" t="inlineStr">
        <is>
          <t>EUR</t>
        </is>
      </c>
      <c r="B43" t="n">
        <v>0</v>
      </c>
      <c r="C43" t="n">
        <v>0</v>
      </c>
      <c r="D43" s="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2" t="inlineStr">
        <is>
          <t>GBP</t>
        </is>
      </c>
      <c r="B44" t="n">
        <v>0</v>
      </c>
      <c r="C44" t="n">
        <v>0</v>
      </c>
      <c r="D44" t="n">
        <v>0</v>
      </c>
      <c r="E44" s="3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2" t="inlineStr">
        <is>
          <t>HKD</t>
        </is>
      </c>
      <c r="B45" t="n">
        <v>0</v>
      </c>
      <c r="C45" t="n">
        <v>0</v>
      </c>
      <c r="D45" t="n">
        <v>0</v>
      </c>
      <c r="E45" t="n">
        <v>0</v>
      </c>
      <c r="F45" s="3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2" t="inlineStr">
        <is>
          <t>IDR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s="3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2" t="inlineStr">
        <is>
          <t>INR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s="3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2" t="inlineStr">
        <is>
          <t>JPY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3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2" t="inlineStr">
        <is>
          <t>MYR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</row>
    <row r="50">
      <c r="A50" s="2" t="inlineStr">
        <is>
          <t>NZD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s="3" t="n">
        <v>0</v>
      </c>
      <c r="L50" t="n">
        <v>0</v>
      </c>
      <c r="M50" t="n">
        <v>0</v>
      </c>
      <c r="N50" t="n">
        <v>0</v>
      </c>
    </row>
    <row r="51">
      <c r="A51" s="2" t="inlineStr">
        <is>
          <t>THB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s="3" t="n">
        <v>0</v>
      </c>
      <c r="M51" t="n">
        <v>0</v>
      </c>
      <c r="N51" t="n">
        <v>0</v>
      </c>
    </row>
    <row r="52">
      <c r="A52" s="2" t="inlineStr">
        <is>
          <t>USD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s="2" t="inlineStr">
        <is>
          <t>OTH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s="3" t="n">
        <v>0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2026-02-25T22:01:20Z</dcterms:created>
  <dcterms:modified xsi:type="dcterms:W3CDTF">2026-02-25T22:01:20Z</dcterms:modified>
</cp:coreProperties>
</file>